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исок покупок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<sst xmlns="http://schemas.openxmlformats.org/spreadsheetml/2006/main" count="181" uniqueCount="127">
  <si>
    <t xml:space="preserve">ПВО ОТ КОМАРОВ — полный список комплектующих (рекомендация)</t>
  </si>
  <si>
    <t xml:space="preserve">Цены ориентировочные (Ozon/WB/AliExpress, авг 2026) — правьте синие ячейки под свои; жёлтая колонка «Куплено» — для отметок (любой символ). Итоги пересчитаются сами.</t>
  </si>
  <si>
    <t xml:space="preserve">1. БАЗОВЫЙ НАБОР — нужен при любом варианте</t>
  </si>
  <si>
    <t xml:space="preserve">№</t>
  </si>
  <si>
    <t xml:space="preserve">Компонент</t>
  </si>
  <si>
    <t xml:space="preserve">Кол-во</t>
  </si>
  <si>
    <t xml:space="preserve">Зачем нужен</t>
  </si>
  <si>
    <t xml:space="preserve">Цена/шт, ₽</t>
  </si>
  <si>
    <t xml:space="preserve">Сумма, ₽</t>
  </si>
  <si>
    <t xml:space="preserve">Куплено</t>
  </si>
  <si>
    <t xml:space="preserve">Примечание</t>
  </si>
  <si>
    <t xml:space="preserve">Лазерный модуль KY-008 (красный, ≤5 мВт)</t>
  </si>
  <si>
    <t xml:space="preserve">целеуказатель турели</t>
  </si>
  <si>
    <t xml:space="preserve">СТРОГО не мощнее 5 мВт — безопасность зрения</t>
  </si>
  <si>
    <t xml:space="preserve">Буззер активный 5 В</t>
  </si>
  <si>
    <t xml:space="preserve">звуки захвата и «поражения»</t>
  </si>
  <si>
    <t xml:space="preserve">пьезо тоже подойдёт</t>
  </si>
  <si>
    <t xml:space="preserve">Провода Dupont, набор 3×40 шт (п-п, п-м, м-м)</t>
  </si>
  <si>
    <t xml:space="preserve">вся коммутация без пайки</t>
  </si>
  <si>
    <t xml:space="preserve">20 см удобнее всего</t>
  </si>
  <si>
    <t xml:space="preserve">Макетная плата 830 точек</t>
  </si>
  <si>
    <t xml:space="preserve">сборка схемы без пайки</t>
  </si>
  <si>
    <t xml:space="preserve">или 400 точек за ~150 ₽</t>
  </si>
  <si>
    <t xml:space="preserve">Блок питания 5 В / 3 А (штекер 5,5×2,1)</t>
  </si>
  <si>
    <t xml:space="preserve">питание серво и радара</t>
  </si>
  <si>
    <t xml:space="preserve">3 А закрывает варианты A и B с запасом</t>
  </si>
  <si>
    <t xml:space="preserve">Переходник DC 5,5×2,1 → клеммник</t>
  </si>
  <si>
    <t xml:space="preserve">подключить БП к макетке</t>
  </si>
  <si>
    <t xml:space="preserve">Конденсатор 1000 мкФ / 16 В</t>
  </si>
  <si>
    <t xml:space="preserve">сглаживание бросков тока серво</t>
  </si>
  <si>
    <t xml:space="preserve">ставится по питанию серво</t>
  </si>
  <si>
    <t xml:space="preserve">Основание (фанера/пластик) + винты М2/М3, набор</t>
  </si>
  <si>
    <t xml:space="preserve">неподвижная база турели</t>
  </si>
  <si>
    <t xml:space="preserve">подойдёт и обрезок доски</t>
  </si>
  <si>
    <t xml:space="preserve">Итого по разделу:</t>
  </si>
  <si>
    <t xml:space="preserve">2. ЯДРО «КАК В ВИДЕО» — вариант B (рекомендую)</t>
  </si>
  <si>
    <t xml:space="preserve">ESP32 DevKit V1 (WROOM-32, 30 pin)</t>
  </si>
  <si>
    <t xml:space="preserve">мозг: приём радара, наведение, Wi-Fi на будущее</t>
  </si>
  <si>
    <t xml:space="preserve">берите с распаянными гребёнками; чип USB — CP2102 или CH340</t>
  </si>
  <si>
    <t xml:space="preserve">Радар HLK-LD2450</t>
  </si>
  <si>
    <t xml:space="preserve">координаты до 3 движущихся целей, 256000 бод</t>
  </si>
  <si>
    <t xml:space="preserve">альтернатива: Ai-Thinker RD-03D ~550 ₽ (протокол совместим, поддержан прошивкой)</t>
  </si>
  <si>
    <t xml:space="preserve">Серво MG90S (металлический редуктор)</t>
  </si>
  <si>
    <t xml:space="preserve">оси pan и tilt</t>
  </si>
  <si>
    <t xml:space="preserve">SG90 дешевле, но люфтит и живёт меньше</t>
  </si>
  <si>
    <t xml:space="preserve">Pan-tilt кронштейн под SG90/MG90S</t>
  </si>
  <si>
    <t xml:space="preserve">механика двух осей</t>
  </si>
  <si>
    <t xml:space="preserve">готовый комплект с винтами</t>
  </si>
  <si>
    <t xml:space="preserve">Транзистор 2N2222 (или BC337)</t>
  </si>
  <si>
    <t xml:space="preserve">ключ лазера от GPIO 3,3 В</t>
  </si>
  <si>
    <t xml:space="preserve">второй — про запас</t>
  </si>
  <si>
    <t xml:space="preserve">Резисторы 1 кОм (набор)</t>
  </si>
  <si>
    <t xml:space="preserve">в базу транзистора</t>
  </si>
  <si>
    <t xml:space="preserve">любой набор выводных резисторов</t>
  </si>
  <si>
    <t xml:space="preserve">Кабель USB для прошивки (с линиями данных!)</t>
  </si>
  <si>
    <t xml:space="preserve">прошивка и монитор порта</t>
  </si>
  <si>
    <t xml:space="preserve">смотрите разъём своей платы: micro-USB или USB-C; «зарядные» кабели не годятся</t>
  </si>
  <si>
    <t xml:space="preserve">3. БЮДЖЕТНЫЙ СТАРТ — вариант A (если начать проще)</t>
  </si>
  <si>
    <t xml:space="preserve">Arduino Nano (CH340, распаянный)</t>
  </si>
  <si>
    <t xml:space="preserve">мозг сканирующей турели</t>
  </si>
  <si>
    <t xml:space="preserve">или Uno R3 клон ~600 ₽; понадобится драйвер CH340</t>
  </si>
  <si>
    <t xml:space="preserve">Ультразвуковой дальномер HC-SR04</t>
  </si>
  <si>
    <t xml:space="preserve">«радар»: дистанция до цели</t>
  </si>
  <si>
    <t xml:space="preserve">Серво SG90</t>
  </si>
  <si>
    <t xml:space="preserve">ось азимута</t>
  </si>
  <si>
    <t xml:space="preserve">можно взять MG90S из раздела 2 — он лучше</t>
  </si>
  <si>
    <t xml:space="preserve">Кабель mini-USB (Nano) или USB-B (Uno)</t>
  </si>
  <si>
    <t xml:space="preserve">прошивка</t>
  </si>
  <si>
    <t xml:space="preserve">тоже с линиями данных</t>
  </si>
  <si>
    <t xml:space="preserve">4. АПГРЕЙД «ЗРЕНИЕ» — вариант C (можно докупить потом)</t>
  </si>
  <si>
    <t xml:space="preserve">Raspberry Pi 4 (4 ГБ)</t>
  </si>
  <si>
    <t xml:space="preserve">компьютерное зрение (OpenCV)</t>
  </si>
  <si>
    <t xml:space="preserve">или Pi 5; бюджетно — Zero 2 W ~3000 ₽ (ниже FPS)</t>
  </si>
  <si>
    <t xml:space="preserve">Камера USB 1080p (или Camera Module 3)</t>
  </si>
  <si>
    <t xml:space="preserve">«глаза» системы</t>
  </si>
  <si>
    <t xml:space="preserve">CSI-модуль ~4000 ₽ — лучше в темноте, нужен шлейф под вашу Pi</t>
  </si>
  <si>
    <t xml:space="preserve">microSD 32 ГБ (класс A1/U3)</t>
  </si>
  <si>
    <t xml:space="preserve">система Raspberry Pi OS</t>
  </si>
  <si>
    <t xml:space="preserve">качественная карта — залог стабильности</t>
  </si>
  <si>
    <t xml:space="preserve">БП USB-C 5 В / 3 А</t>
  </si>
  <si>
    <t xml:space="preserve">питание Raspberry Pi</t>
  </si>
  <si>
    <t xml:space="preserve">фирменный или качественный — Pi чувствительна к просадкам</t>
  </si>
  <si>
    <t xml:space="preserve">Корпус с охлаждением / радиаторы</t>
  </si>
  <si>
    <t xml:space="preserve">тепловой режим Pi</t>
  </si>
  <si>
    <t xml:space="preserve">необязательно, но желательно</t>
  </si>
  <si>
    <t xml:space="preserve">5. ИК-ОХОТА — вариант D «Комар-Ф» (слияние B + C, глава 13)</t>
  </si>
  <si>
    <t xml:space="preserve">ИК-модуль подсветки 850 нм (плата от камер наблюдения)</t>
  </si>
  <si>
    <t xml:space="preserve">невидимая подсветка мелочи: мошки, комары</t>
  </si>
  <si>
    <t xml:space="preserve">или 3–6 ИК-диодов 850 нм кольцом вокруг объектива; 940 нм камера видит заметно хуже</t>
  </si>
  <si>
    <t xml:space="preserve">Камера БЕЗ ИК-фильтра</t>
  </si>
  <si>
    <t xml:space="preserve">обязательна для ИК-охоты (обычные камеры ИК не видят)</t>
  </si>
  <si>
    <t xml:space="preserve">0 ₽ — снять фильтр с вебки из раздела 4; или готовая Raspberry Pi Camera NoIR (CSI) ~1500–2500 ₽</t>
  </si>
  <si>
    <t xml:space="preserve">MOSFET 2N7000 или AO3400</t>
  </si>
  <si>
    <t xml:space="preserve">ключ ИК-платы при токе больше ~150 мА</t>
  </si>
  <si>
    <t xml:space="preserve">мелкой подсветке (до ~150 мА) хватит 2N2222 из раздела 2</t>
  </si>
  <si>
    <t xml:space="preserve">6. ОПЦИОНАЛЬНЫЕ МОДУЛИ — украшения по вкусу</t>
  </si>
  <si>
    <t xml:space="preserve">OLED-экран SSD1306 0,96" I2C</t>
  </si>
  <si>
    <t xml:space="preserve">«экран боевого поста» на турели (вариант B)</t>
  </si>
  <si>
    <t xml:space="preserve">адрес 0x3C; библиотека Adafruit SSD1306</t>
  </si>
  <si>
    <t xml:space="preserve">DFPlayer Mini</t>
  </si>
  <si>
    <t xml:space="preserve">озвучка событий голосом/звуками</t>
  </si>
  <si>
    <t xml:space="preserve">библиотека не нужна — протокол в прошивке</t>
  </si>
  <si>
    <t xml:space="preserve">Динамик 3 Вт 4–8 Ом</t>
  </si>
  <si>
    <t xml:space="preserve">к DFPlayer</t>
  </si>
  <si>
    <t xml:space="preserve">или маленький «квадратик» 2 Вт</t>
  </si>
  <si>
    <t xml:space="preserve">microSD 1–8 ГБ</t>
  </si>
  <si>
    <t xml:space="preserve">дорожки /mp3/0001..0005.mp3</t>
  </si>
  <si>
    <t xml:space="preserve">подойдёт любая старая</t>
  </si>
  <si>
    <t xml:space="preserve">7. ИНСТРУМЕНТЫ — если ещё нет</t>
  </si>
  <si>
    <t xml:space="preserve">Термоклеевой пистолет + стержни</t>
  </si>
  <si>
    <t xml:space="preserve">крепёж датчика и лазера на качалке</t>
  </si>
  <si>
    <t xml:space="preserve">Мультиметр (DT-830 или лучше)</t>
  </si>
  <si>
    <t xml:space="preserve">проверка питания и прозвонка</t>
  </si>
  <si>
    <t xml:space="preserve">Паяльник 60 Вт + припой + флюс</t>
  </si>
  <si>
    <t xml:space="preserve">гребёнки радара/плат</t>
  </si>
  <si>
    <t xml:space="preserve">радары часто приходят без распаянных гребёнок — паяльник почти наверняка понадобится</t>
  </si>
  <si>
    <t xml:space="preserve">Набор малых отвёрток (крест)</t>
  </si>
  <si>
    <t xml:space="preserve">винты серво и кронштейна</t>
  </si>
  <si>
    <t xml:space="preserve">СВОДКА: сколько стоит каждая конфигурация</t>
  </si>
  <si>
    <t xml:space="preserve">Рекомендую: базовый набор + ядро B (радарная турель «как в видео»)</t>
  </si>
  <si>
    <t xml:space="preserve">Бюджетный старт: базовый набор + вариант A (сканирующая турель)</t>
  </si>
  <si>
    <t xml:space="preserve">Обе турели: базовый + A + B (коду ничего докупать не надо)</t>
  </si>
  <si>
    <t xml:space="preserve">Полная программа: базовый + A + B + зрение C</t>
  </si>
  <si>
    <t xml:space="preserve">Слияние D «Комар-Ф»: базовый + B + зрение C + ИК-охота</t>
  </si>
  <si>
    <t xml:space="preserve">Опциональные модули (по вкусу)</t>
  </si>
  <si>
    <t xml:space="preserve">Инструменты (если совсем с нуля)</t>
  </si>
  <si>
    <t xml:space="preserve">Синие значения (кол-во и цена) — правьте под фактические цены магазина. Источник цен: ориентировочные рыночные, авг 2026 (пользовательская оценка проекта). Лазер — только ≤5 мВт, см. раздел 2 руководства.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</si>
</sst>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&quot; ₽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00575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8.5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8.5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575C"/>
        <bgColor rgb="FF008080"/>
      </patternFill>
    </fill>
    <fill>
      <patternFill patternType="solid">
        <fgColor rgb="FFD3E3E5"/>
        <bgColor rgb="FFDFF0D8"/>
      </patternFill>
    </fill>
    <fill>
      <patternFill patternType="solid">
        <fgColor rgb="FFFFF2CC"/>
        <bgColor rgb="FFE8F1F2"/>
      </patternFill>
    </fill>
    <fill>
      <patternFill patternType="solid">
        <fgColor rgb="FFE8F1F2"/>
        <bgColor rgb="FFDFF0D8"/>
      </patternFill>
    </fill>
    <fill>
      <patternFill patternType="solid">
        <fgColor rgb="FFDFF0D8"/>
        <bgColor rgb="FFE8F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9CB"/>
      </left>
      <right/>
      <top style="thin">
        <color rgb="FFB7C9CB"/>
      </top>
      <bottom style="thin">
        <color rgb="FFB7C9CB"/>
      </bottom>
      <diagonal/>
    </border>
    <border diagonalUp="false" diagonalDown="false">
      <left style="thin">
        <color rgb="FFB7C9CB"/>
      </left>
      <right style="thin">
        <color rgb="FFB7C9CB"/>
      </right>
      <top style="thin">
        <color rgb="FFB7C9CB"/>
      </top>
      <bottom style="thin">
        <color rgb="FFB7C9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CB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D3E3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0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57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42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4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5" t="s">
        <v>4</v>
      </c>
      <c r="C5" s="4" t="s">
        <v>5</v>
      </c>
      <c r="D5" s="5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customFormat="false" ht="25.5" hidden="false" customHeight="true" outlineLevel="0" collapsed="false">
      <c r="A6" s="6" t="n">
        <v>1</v>
      </c>
      <c r="B6" s="7" t="s">
        <v>11</v>
      </c>
      <c r="C6" s="8" t="n">
        <v>1</v>
      </c>
      <c r="D6" s="9" t="s">
        <v>12</v>
      </c>
      <c r="E6" s="10" t="n">
        <v>100</v>
      </c>
      <c r="F6" s="11" t="n">
        <f aca="false">C6*E6</f>
        <v>100</v>
      </c>
      <c r="G6" s="12"/>
      <c r="H6" s="13" t="s">
        <v>13</v>
      </c>
    </row>
    <row r="7" customFormat="false" ht="25.5" hidden="false" customHeight="true" outlineLevel="0" collapsed="false">
      <c r="A7" s="6" t="n">
        <v>2</v>
      </c>
      <c r="B7" s="7" t="s">
        <v>14</v>
      </c>
      <c r="C7" s="8" t="n">
        <v>1</v>
      </c>
      <c r="D7" s="9" t="s">
        <v>15</v>
      </c>
      <c r="E7" s="10" t="n">
        <v>50</v>
      </c>
      <c r="F7" s="11" t="n">
        <f aca="false">C7*E7</f>
        <v>50</v>
      </c>
      <c r="G7" s="12"/>
      <c r="H7" s="13" t="s">
        <v>16</v>
      </c>
    </row>
    <row r="8" customFormat="false" ht="25.5" hidden="false" customHeight="true" outlineLevel="0" collapsed="false">
      <c r="A8" s="6" t="n">
        <v>3</v>
      </c>
      <c r="B8" s="7" t="s">
        <v>17</v>
      </c>
      <c r="C8" s="8" t="n">
        <v>1</v>
      </c>
      <c r="D8" s="9" t="s">
        <v>18</v>
      </c>
      <c r="E8" s="10" t="n">
        <v>250</v>
      </c>
      <c r="F8" s="11" t="n">
        <f aca="false">C8*E8</f>
        <v>250</v>
      </c>
      <c r="G8" s="12"/>
      <c r="H8" s="13" t="s">
        <v>19</v>
      </c>
    </row>
    <row r="9" customFormat="false" ht="25.5" hidden="false" customHeight="true" outlineLevel="0" collapsed="false">
      <c r="A9" s="6" t="n">
        <v>4</v>
      </c>
      <c r="B9" s="7" t="s">
        <v>20</v>
      </c>
      <c r="C9" s="8" t="n">
        <v>1</v>
      </c>
      <c r="D9" s="9" t="s">
        <v>21</v>
      </c>
      <c r="E9" s="10" t="n">
        <v>250</v>
      </c>
      <c r="F9" s="11" t="n">
        <f aca="false">C9*E9</f>
        <v>250</v>
      </c>
      <c r="G9" s="12"/>
      <c r="H9" s="13" t="s">
        <v>22</v>
      </c>
    </row>
    <row r="10" customFormat="false" ht="25.5" hidden="false" customHeight="true" outlineLevel="0" collapsed="false">
      <c r="A10" s="6" t="n">
        <v>5</v>
      </c>
      <c r="B10" s="7" t="s">
        <v>23</v>
      </c>
      <c r="C10" s="8" t="n">
        <v>1</v>
      </c>
      <c r="D10" s="9" t="s">
        <v>24</v>
      </c>
      <c r="E10" s="10" t="n">
        <v>450</v>
      </c>
      <c r="F10" s="11" t="n">
        <f aca="false">C10*E10</f>
        <v>450</v>
      </c>
      <c r="G10" s="12"/>
      <c r="H10" s="13" t="s">
        <v>25</v>
      </c>
    </row>
    <row r="11" customFormat="false" ht="25.5" hidden="false" customHeight="true" outlineLevel="0" collapsed="false">
      <c r="A11" s="6" t="n">
        <v>6</v>
      </c>
      <c r="B11" s="7" t="s">
        <v>26</v>
      </c>
      <c r="C11" s="8" t="n">
        <v>1</v>
      </c>
      <c r="D11" s="9" t="s">
        <v>27</v>
      </c>
      <c r="E11" s="10" t="n">
        <v>60</v>
      </c>
      <c r="F11" s="11" t="n">
        <f aca="false">C11*E11</f>
        <v>60</v>
      </c>
      <c r="G11" s="12"/>
      <c r="H11" s="13"/>
    </row>
    <row r="12" customFormat="false" ht="25.5" hidden="false" customHeight="true" outlineLevel="0" collapsed="false">
      <c r="A12" s="6" t="n">
        <v>7</v>
      </c>
      <c r="B12" s="7" t="s">
        <v>28</v>
      </c>
      <c r="C12" s="8" t="n">
        <v>2</v>
      </c>
      <c r="D12" s="9" t="s">
        <v>29</v>
      </c>
      <c r="E12" s="10" t="n">
        <v>20</v>
      </c>
      <c r="F12" s="11" t="n">
        <f aca="false">C12*E12</f>
        <v>40</v>
      </c>
      <c r="G12" s="12"/>
      <c r="H12" s="13" t="s">
        <v>30</v>
      </c>
    </row>
    <row r="13" customFormat="false" ht="25.5" hidden="false" customHeight="true" outlineLevel="0" collapsed="false">
      <c r="A13" s="6" t="n">
        <v>8</v>
      </c>
      <c r="B13" s="7" t="s">
        <v>31</v>
      </c>
      <c r="C13" s="8" t="n">
        <v>1</v>
      </c>
      <c r="D13" s="9" t="s">
        <v>32</v>
      </c>
      <c r="E13" s="10" t="n">
        <v>200</v>
      </c>
      <c r="F13" s="11" t="n">
        <f aca="false">C13*E13</f>
        <v>200</v>
      </c>
      <c r="G13" s="12"/>
      <c r="H13" s="13" t="s">
        <v>33</v>
      </c>
    </row>
    <row r="14" customFormat="false" ht="15" hidden="false" customHeight="true" outlineLevel="0" collapsed="false">
      <c r="A14" s="14" t="s">
        <v>34</v>
      </c>
      <c r="B14" s="14"/>
      <c r="C14" s="14"/>
      <c r="D14" s="14"/>
      <c r="E14" s="14"/>
      <c r="F14" s="15" t="n">
        <f aca="false">SUM(F6:F13)</f>
        <v>1400</v>
      </c>
      <c r="G14" s="16"/>
      <c r="H14" s="16"/>
    </row>
    <row r="16" customFormat="false" ht="18" hidden="false" customHeight="true" outlineLevel="0" collapsed="false">
      <c r="A16" s="3" t="s">
        <v>35</v>
      </c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4" t="s">
        <v>3</v>
      </c>
      <c r="B17" s="5" t="s">
        <v>4</v>
      </c>
      <c r="C17" s="4" t="s">
        <v>5</v>
      </c>
      <c r="D17" s="5" t="s">
        <v>6</v>
      </c>
      <c r="E17" s="4" t="s">
        <v>7</v>
      </c>
      <c r="F17" s="4" t="s">
        <v>8</v>
      </c>
      <c r="G17" s="4" t="s">
        <v>9</v>
      </c>
      <c r="H17" s="5" t="s">
        <v>10</v>
      </c>
    </row>
    <row r="18" customFormat="false" ht="25.5" hidden="false" customHeight="true" outlineLevel="0" collapsed="false">
      <c r="A18" s="6" t="n">
        <v>9</v>
      </c>
      <c r="B18" s="7" t="s">
        <v>36</v>
      </c>
      <c r="C18" s="8" t="n">
        <v>1</v>
      </c>
      <c r="D18" s="9" t="s">
        <v>37</v>
      </c>
      <c r="E18" s="10" t="n">
        <v>550</v>
      </c>
      <c r="F18" s="11" t="n">
        <f aca="false">C18*E18</f>
        <v>550</v>
      </c>
      <c r="G18" s="12"/>
      <c r="H18" s="13" t="s">
        <v>38</v>
      </c>
    </row>
    <row r="19" customFormat="false" ht="25.5" hidden="false" customHeight="true" outlineLevel="0" collapsed="false">
      <c r="A19" s="6" t="n">
        <v>10</v>
      </c>
      <c r="B19" s="7" t="s">
        <v>39</v>
      </c>
      <c r="C19" s="8" t="n">
        <v>1</v>
      </c>
      <c r="D19" s="9" t="s">
        <v>40</v>
      </c>
      <c r="E19" s="10" t="n">
        <v>800</v>
      </c>
      <c r="F19" s="11" t="n">
        <f aca="false">C19*E19</f>
        <v>800</v>
      </c>
      <c r="G19" s="12"/>
      <c r="H19" s="13" t="s">
        <v>41</v>
      </c>
    </row>
    <row r="20" customFormat="false" ht="25.5" hidden="false" customHeight="true" outlineLevel="0" collapsed="false">
      <c r="A20" s="6" t="n">
        <v>11</v>
      </c>
      <c r="B20" s="7" t="s">
        <v>42</v>
      </c>
      <c r="C20" s="8" t="n">
        <v>2</v>
      </c>
      <c r="D20" s="9" t="s">
        <v>43</v>
      </c>
      <c r="E20" s="10" t="n">
        <v>230</v>
      </c>
      <c r="F20" s="11" t="n">
        <f aca="false">C20*E20</f>
        <v>460</v>
      </c>
      <c r="G20" s="12"/>
      <c r="H20" s="13" t="s">
        <v>44</v>
      </c>
    </row>
    <row r="21" customFormat="false" ht="25.5" hidden="false" customHeight="true" outlineLevel="0" collapsed="false">
      <c r="A21" s="6" t="n">
        <v>12</v>
      </c>
      <c r="B21" s="7" t="s">
        <v>45</v>
      </c>
      <c r="C21" s="8" t="n">
        <v>1</v>
      </c>
      <c r="D21" s="9" t="s">
        <v>46</v>
      </c>
      <c r="E21" s="10" t="n">
        <v>300</v>
      </c>
      <c r="F21" s="11" t="n">
        <f aca="false">C21*E21</f>
        <v>300</v>
      </c>
      <c r="G21" s="12"/>
      <c r="H21" s="13" t="s">
        <v>47</v>
      </c>
    </row>
    <row r="22" customFormat="false" ht="25.5" hidden="false" customHeight="true" outlineLevel="0" collapsed="false">
      <c r="A22" s="6" t="n">
        <v>13</v>
      </c>
      <c r="B22" s="7" t="s">
        <v>48</v>
      </c>
      <c r="C22" s="8" t="n">
        <v>2</v>
      </c>
      <c r="D22" s="9" t="s">
        <v>49</v>
      </c>
      <c r="E22" s="10" t="n">
        <v>10</v>
      </c>
      <c r="F22" s="11" t="n">
        <f aca="false">C22*E22</f>
        <v>20</v>
      </c>
      <c r="G22" s="12"/>
      <c r="H22" s="13" t="s">
        <v>50</v>
      </c>
    </row>
    <row r="23" customFormat="false" ht="25.5" hidden="false" customHeight="true" outlineLevel="0" collapsed="false">
      <c r="A23" s="6" t="n">
        <v>14</v>
      </c>
      <c r="B23" s="7" t="s">
        <v>51</v>
      </c>
      <c r="C23" s="8" t="n">
        <v>1</v>
      </c>
      <c r="D23" s="9" t="s">
        <v>52</v>
      </c>
      <c r="E23" s="10" t="n">
        <v>60</v>
      </c>
      <c r="F23" s="11" t="n">
        <f aca="false">C23*E23</f>
        <v>60</v>
      </c>
      <c r="G23" s="12"/>
      <c r="H23" s="13" t="s">
        <v>53</v>
      </c>
    </row>
    <row r="24" customFormat="false" ht="25.5" hidden="false" customHeight="true" outlineLevel="0" collapsed="false">
      <c r="A24" s="6" t="n">
        <v>15</v>
      </c>
      <c r="B24" s="7" t="s">
        <v>54</v>
      </c>
      <c r="C24" s="8" t="n">
        <v>1</v>
      </c>
      <c r="D24" s="9" t="s">
        <v>55</v>
      </c>
      <c r="E24" s="10" t="n">
        <v>150</v>
      </c>
      <c r="F24" s="11" t="n">
        <f aca="false">C24*E24</f>
        <v>150</v>
      </c>
      <c r="G24" s="12"/>
      <c r="H24" s="13" t="s">
        <v>56</v>
      </c>
    </row>
    <row r="25" customFormat="false" ht="15" hidden="false" customHeight="true" outlineLevel="0" collapsed="false">
      <c r="A25" s="14" t="s">
        <v>34</v>
      </c>
      <c r="B25" s="14"/>
      <c r="C25" s="14"/>
      <c r="D25" s="14"/>
      <c r="E25" s="14"/>
      <c r="F25" s="15" t="n">
        <f aca="false">SUM(F18:F24)</f>
        <v>2340</v>
      </c>
      <c r="G25" s="16"/>
      <c r="H25" s="16"/>
    </row>
    <row r="27" customFormat="false" ht="18" hidden="false" customHeight="true" outlineLevel="0" collapsed="false">
      <c r="A27" s="3" t="s">
        <v>57</v>
      </c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4" t="s">
        <v>3</v>
      </c>
      <c r="B28" s="5" t="s">
        <v>4</v>
      </c>
      <c r="C28" s="4" t="s">
        <v>5</v>
      </c>
      <c r="D28" s="5" t="s">
        <v>6</v>
      </c>
      <c r="E28" s="4" t="s">
        <v>7</v>
      </c>
      <c r="F28" s="4" t="s">
        <v>8</v>
      </c>
      <c r="G28" s="4" t="s">
        <v>9</v>
      </c>
      <c r="H28" s="5" t="s">
        <v>10</v>
      </c>
    </row>
    <row r="29" customFormat="false" ht="25.5" hidden="false" customHeight="true" outlineLevel="0" collapsed="false">
      <c r="A29" s="6" t="n">
        <v>16</v>
      </c>
      <c r="B29" s="7" t="s">
        <v>58</v>
      </c>
      <c r="C29" s="8" t="n">
        <v>1</v>
      </c>
      <c r="D29" s="9" t="s">
        <v>59</v>
      </c>
      <c r="E29" s="10" t="n">
        <v>400</v>
      </c>
      <c r="F29" s="11" t="n">
        <f aca="false">C29*E29</f>
        <v>400</v>
      </c>
      <c r="G29" s="12"/>
      <c r="H29" s="13" t="s">
        <v>60</v>
      </c>
    </row>
    <row r="30" customFormat="false" ht="25.5" hidden="false" customHeight="true" outlineLevel="0" collapsed="false">
      <c r="A30" s="6" t="n">
        <v>17</v>
      </c>
      <c r="B30" s="7" t="s">
        <v>61</v>
      </c>
      <c r="C30" s="8" t="n">
        <v>1</v>
      </c>
      <c r="D30" s="9" t="s">
        <v>62</v>
      </c>
      <c r="E30" s="10" t="n">
        <v>100</v>
      </c>
      <c r="F30" s="11" t="n">
        <f aca="false">C30*E30</f>
        <v>100</v>
      </c>
      <c r="G30" s="12"/>
      <c r="H30" s="13"/>
    </row>
    <row r="31" customFormat="false" ht="25.5" hidden="false" customHeight="true" outlineLevel="0" collapsed="false">
      <c r="A31" s="6" t="n">
        <v>18</v>
      </c>
      <c r="B31" s="7" t="s">
        <v>63</v>
      </c>
      <c r="C31" s="8" t="n">
        <v>1</v>
      </c>
      <c r="D31" s="9" t="s">
        <v>64</v>
      </c>
      <c r="E31" s="10" t="n">
        <v>160</v>
      </c>
      <c r="F31" s="11" t="n">
        <f aca="false">C31*E31</f>
        <v>160</v>
      </c>
      <c r="G31" s="12"/>
      <c r="H31" s="13" t="s">
        <v>65</v>
      </c>
    </row>
    <row r="32" customFormat="false" ht="25.5" hidden="false" customHeight="true" outlineLevel="0" collapsed="false">
      <c r="A32" s="6" t="n">
        <v>19</v>
      </c>
      <c r="B32" s="7" t="s">
        <v>66</v>
      </c>
      <c r="C32" s="8" t="n">
        <v>1</v>
      </c>
      <c r="D32" s="9" t="s">
        <v>67</v>
      </c>
      <c r="E32" s="10" t="n">
        <v>130</v>
      </c>
      <c r="F32" s="11" t="n">
        <f aca="false">C32*E32</f>
        <v>130</v>
      </c>
      <c r="G32" s="12"/>
      <c r="H32" s="13" t="s">
        <v>68</v>
      </c>
    </row>
    <row r="33" customFormat="false" ht="15" hidden="false" customHeight="true" outlineLevel="0" collapsed="false">
      <c r="A33" s="14" t="s">
        <v>34</v>
      </c>
      <c r="B33" s="14"/>
      <c r="C33" s="14"/>
      <c r="D33" s="14"/>
      <c r="E33" s="14"/>
      <c r="F33" s="15" t="n">
        <f aca="false">SUM(F29:F32)</f>
        <v>790</v>
      </c>
      <c r="G33" s="16"/>
      <c r="H33" s="16"/>
    </row>
    <row r="35" customFormat="false" ht="18" hidden="false" customHeight="true" outlineLevel="0" collapsed="false">
      <c r="A35" s="3" t="s">
        <v>69</v>
      </c>
      <c r="B35" s="3"/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A36" s="4" t="s">
        <v>3</v>
      </c>
      <c r="B36" s="5" t="s">
        <v>4</v>
      </c>
      <c r="C36" s="4" t="s">
        <v>5</v>
      </c>
      <c r="D36" s="5" t="s">
        <v>6</v>
      </c>
      <c r="E36" s="4" t="s">
        <v>7</v>
      </c>
      <c r="F36" s="4" t="s">
        <v>8</v>
      </c>
      <c r="G36" s="4" t="s">
        <v>9</v>
      </c>
      <c r="H36" s="5" t="s">
        <v>10</v>
      </c>
    </row>
    <row r="37" customFormat="false" ht="25.5" hidden="false" customHeight="true" outlineLevel="0" collapsed="false">
      <c r="A37" s="6" t="n">
        <v>20</v>
      </c>
      <c r="B37" s="7" t="s">
        <v>70</v>
      </c>
      <c r="C37" s="8" t="n">
        <v>1</v>
      </c>
      <c r="D37" s="9" t="s">
        <v>71</v>
      </c>
      <c r="E37" s="10" t="n">
        <v>6500</v>
      </c>
      <c r="F37" s="11" t="n">
        <f aca="false">C37*E37</f>
        <v>6500</v>
      </c>
      <c r="G37" s="12"/>
      <c r="H37" s="13" t="s">
        <v>72</v>
      </c>
    </row>
    <row r="38" customFormat="false" ht="25.5" hidden="false" customHeight="true" outlineLevel="0" collapsed="false">
      <c r="A38" s="6" t="n">
        <v>21</v>
      </c>
      <c r="B38" s="7" t="s">
        <v>73</v>
      </c>
      <c r="C38" s="8" t="n">
        <v>1</v>
      </c>
      <c r="D38" s="9" t="s">
        <v>74</v>
      </c>
      <c r="E38" s="10" t="n">
        <v>900</v>
      </c>
      <c r="F38" s="11" t="n">
        <f aca="false">C38*E38</f>
        <v>900</v>
      </c>
      <c r="G38" s="12"/>
      <c r="H38" s="13" t="s">
        <v>75</v>
      </c>
    </row>
    <row r="39" customFormat="false" ht="25.5" hidden="false" customHeight="true" outlineLevel="0" collapsed="false">
      <c r="A39" s="6" t="n">
        <v>22</v>
      </c>
      <c r="B39" s="7" t="s">
        <v>76</v>
      </c>
      <c r="C39" s="8" t="n">
        <v>1</v>
      </c>
      <c r="D39" s="9" t="s">
        <v>77</v>
      </c>
      <c r="E39" s="10" t="n">
        <v>500</v>
      </c>
      <c r="F39" s="11" t="n">
        <f aca="false">C39*E39</f>
        <v>500</v>
      </c>
      <c r="G39" s="12"/>
      <c r="H39" s="13" t="s">
        <v>78</v>
      </c>
    </row>
    <row r="40" customFormat="false" ht="25.5" hidden="false" customHeight="true" outlineLevel="0" collapsed="false">
      <c r="A40" s="6" t="n">
        <v>23</v>
      </c>
      <c r="B40" s="7" t="s">
        <v>79</v>
      </c>
      <c r="C40" s="8" t="n">
        <v>1</v>
      </c>
      <c r="D40" s="9" t="s">
        <v>80</v>
      </c>
      <c r="E40" s="10" t="n">
        <v>900</v>
      </c>
      <c r="F40" s="11" t="n">
        <f aca="false">C40*E40</f>
        <v>900</v>
      </c>
      <c r="G40" s="12"/>
      <c r="H40" s="13" t="s">
        <v>81</v>
      </c>
    </row>
    <row r="41" customFormat="false" ht="25.5" hidden="false" customHeight="true" outlineLevel="0" collapsed="false">
      <c r="A41" s="6" t="n">
        <v>24</v>
      </c>
      <c r="B41" s="7" t="s">
        <v>82</v>
      </c>
      <c r="C41" s="8" t="n">
        <v>1</v>
      </c>
      <c r="D41" s="9" t="s">
        <v>83</v>
      </c>
      <c r="E41" s="10" t="n">
        <v>500</v>
      </c>
      <c r="F41" s="11" t="n">
        <f aca="false">C41*E41</f>
        <v>500</v>
      </c>
      <c r="G41" s="12"/>
      <c r="H41" s="13" t="s">
        <v>84</v>
      </c>
    </row>
    <row r="42" customFormat="false" ht="15" hidden="false" customHeight="true" outlineLevel="0" collapsed="false">
      <c r="A42" s="14" t="s">
        <v>34</v>
      </c>
      <c r="B42" s="14"/>
      <c r="C42" s="14"/>
      <c r="D42" s="14"/>
      <c r="E42" s="14"/>
      <c r="F42" s="15" t="n">
        <f aca="false">SUM(F37:F41)</f>
        <v>9300</v>
      </c>
      <c r="G42" s="16"/>
      <c r="H42" s="16"/>
    </row>
    <row r="44" customFormat="false" ht="18" hidden="false" customHeight="true" outlineLevel="0" collapsed="false">
      <c r="A44" s="3" t="s">
        <v>85</v>
      </c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4" t="s">
        <v>3</v>
      </c>
      <c r="B45" s="5" t="s">
        <v>4</v>
      </c>
      <c r="C45" s="4" t="s">
        <v>5</v>
      </c>
      <c r="D45" s="5" t="s">
        <v>6</v>
      </c>
      <c r="E45" s="4" t="s">
        <v>7</v>
      </c>
      <c r="F45" s="4" t="s">
        <v>8</v>
      </c>
      <c r="G45" s="4" t="s">
        <v>9</v>
      </c>
      <c r="H45" s="5" t="s">
        <v>10</v>
      </c>
    </row>
    <row r="46" customFormat="false" ht="25.5" hidden="false" customHeight="true" outlineLevel="0" collapsed="false">
      <c r="A46" s="6" t="n">
        <v>25</v>
      </c>
      <c r="B46" s="7" t="s">
        <v>86</v>
      </c>
      <c r="C46" s="8" t="n">
        <v>1</v>
      </c>
      <c r="D46" s="9" t="s">
        <v>87</v>
      </c>
      <c r="E46" s="10" t="n">
        <v>250</v>
      </c>
      <c r="F46" s="11" t="n">
        <f aca="false">C46*E46</f>
        <v>250</v>
      </c>
      <c r="G46" s="12"/>
      <c r="H46" s="13" t="s">
        <v>88</v>
      </c>
    </row>
    <row r="47" customFormat="false" ht="25.5" hidden="false" customHeight="true" outlineLevel="0" collapsed="false">
      <c r="A47" s="6" t="n">
        <v>26</v>
      </c>
      <c r="B47" s="7" t="s">
        <v>89</v>
      </c>
      <c r="C47" s="8" t="n">
        <v>1</v>
      </c>
      <c r="D47" s="9" t="s">
        <v>90</v>
      </c>
      <c r="E47" s="10" t="n">
        <v>0</v>
      </c>
      <c r="F47" s="11" t="n">
        <f aca="false">C47*E47</f>
        <v>0</v>
      </c>
      <c r="G47" s="12"/>
      <c r="H47" s="13" t="s">
        <v>91</v>
      </c>
    </row>
    <row r="48" customFormat="false" ht="25.5" hidden="false" customHeight="true" outlineLevel="0" collapsed="false">
      <c r="A48" s="6" t="n">
        <v>27</v>
      </c>
      <c r="B48" s="7" t="s">
        <v>92</v>
      </c>
      <c r="C48" s="8" t="n">
        <v>1</v>
      </c>
      <c r="D48" s="9" t="s">
        <v>93</v>
      </c>
      <c r="E48" s="10" t="n">
        <v>20</v>
      </c>
      <c r="F48" s="11" t="n">
        <f aca="false">C48*E48</f>
        <v>20</v>
      </c>
      <c r="G48" s="12"/>
      <c r="H48" s="13" t="s">
        <v>94</v>
      </c>
    </row>
    <row r="49" customFormat="false" ht="15" hidden="false" customHeight="true" outlineLevel="0" collapsed="false">
      <c r="A49" s="14" t="s">
        <v>34</v>
      </c>
      <c r="B49" s="14"/>
      <c r="C49" s="14"/>
      <c r="D49" s="14"/>
      <c r="E49" s="14"/>
      <c r="F49" s="15" t="n">
        <f aca="false">SUM(F46:F48)</f>
        <v>270</v>
      </c>
      <c r="G49" s="16"/>
      <c r="H49" s="16"/>
    </row>
    <row r="51" customFormat="false" ht="18" hidden="false" customHeight="true" outlineLevel="0" collapsed="false">
      <c r="A51" s="3" t="s">
        <v>95</v>
      </c>
      <c r="B51" s="3"/>
      <c r="C51" s="3"/>
      <c r="D51" s="3"/>
      <c r="E51" s="3"/>
      <c r="F51" s="3"/>
      <c r="G51" s="3"/>
      <c r="H51" s="3"/>
    </row>
    <row r="52" customFormat="false" ht="15" hidden="false" customHeight="false" outlineLevel="0" collapsed="false">
      <c r="A52" s="4" t="s">
        <v>3</v>
      </c>
      <c r="B52" s="5" t="s">
        <v>4</v>
      </c>
      <c r="C52" s="4" t="s">
        <v>5</v>
      </c>
      <c r="D52" s="5" t="s">
        <v>6</v>
      </c>
      <c r="E52" s="4" t="s">
        <v>7</v>
      </c>
      <c r="F52" s="4" t="s">
        <v>8</v>
      </c>
      <c r="G52" s="4" t="s">
        <v>9</v>
      </c>
      <c r="H52" s="5" t="s">
        <v>10</v>
      </c>
    </row>
    <row r="53" customFormat="false" ht="25.5" hidden="false" customHeight="true" outlineLevel="0" collapsed="false">
      <c r="A53" s="6" t="n">
        <v>28</v>
      </c>
      <c r="B53" s="7" t="s">
        <v>96</v>
      </c>
      <c r="C53" s="8" t="n">
        <v>1</v>
      </c>
      <c r="D53" s="9" t="s">
        <v>97</v>
      </c>
      <c r="E53" s="10" t="n">
        <v>250</v>
      </c>
      <c r="F53" s="11" t="n">
        <f aca="false">C53*E53</f>
        <v>250</v>
      </c>
      <c r="G53" s="12"/>
      <c r="H53" s="13" t="s">
        <v>98</v>
      </c>
    </row>
    <row r="54" customFormat="false" ht="25.5" hidden="false" customHeight="true" outlineLevel="0" collapsed="false">
      <c r="A54" s="6" t="n">
        <v>29</v>
      </c>
      <c r="B54" s="7" t="s">
        <v>99</v>
      </c>
      <c r="C54" s="8" t="n">
        <v>1</v>
      </c>
      <c r="D54" s="9" t="s">
        <v>100</v>
      </c>
      <c r="E54" s="10" t="n">
        <v>150</v>
      </c>
      <c r="F54" s="11" t="n">
        <f aca="false">C54*E54</f>
        <v>150</v>
      </c>
      <c r="G54" s="12"/>
      <c r="H54" s="13" t="s">
        <v>101</v>
      </c>
    </row>
    <row r="55" customFormat="false" ht="25.5" hidden="false" customHeight="true" outlineLevel="0" collapsed="false">
      <c r="A55" s="6" t="n">
        <v>30</v>
      </c>
      <c r="B55" s="7" t="s">
        <v>102</v>
      </c>
      <c r="C55" s="8" t="n">
        <v>1</v>
      </c>
      <c r="D55" s="9" t="s">
        <v>103</v>
      </c>
      <c r="E55" s="10" t="n">
        <v>120</v>
      </c>
      <c r="F55" s="11" t="n">
        <f aca="false">C55*E55</f>
        <v>120</v>
      </c>
      <c r="G55" s="12"/>
      <c r="H55" s="13" t="s">
        <v>104</v>
      </c>
    </row>
    <row r="56" customFormat="false" ht="25.5" hidden="false" customHeight="true" outlineLevel="0" collapsed="false">
      <c r="A56" s="6" t="n">
        <v>31</v>
      </c>
      <c r="B56" s="7" t="s">
        <v>105</v>
      </c>
      <c r="C56" s="8" t="n">
        <v>1</v>
      </c>
      <c r="D56" s="9" t="s">
        <v>106</v>
      </c>
      <c r="E56" s="10" t="n">
        <v>250</v>
      </c>
      <c r="F56" s="11" t="n">
        <f aca="false">C56*E56</f>
        <v>250</v>
      </c>
      <c r="G56" s="12"/>
      <c r="H56" s="13" t="s">
        <v>107</v>
      </c>
    </row>
    <row r="57" customFormat="false" ht="15" hidden="false" customHeight="true" outlineLevel="0" collapsed="false">
      <c r="A57" s="14" t="s">
        <v>34</v>
      </c>
      <c r="B57" s="14"/>
      <c r="C57" s="14"/>
      <c r="D57" s="14"/>
      <c r="E57" s="14"/>
      <c r="F57" s="15" t="n">
        <f aca="false">SUM(F53:F56)</f>
        <v>770</v>
      </c>
      <c r="G57" s="16"/>
      <c r="H57" s="16"/>
    </row>
    <row r="59" customFormat="false" ht="18" hidden="false" customHeight="true" outlineLevel="0" collapsed="false">
      <c r="A59" s="3" t="s">
        <v>108</v>
      </c>
      <c r="B59" s="3"/>
      <c r="C59" s="3"/>
      <c r="D59" s="3"/>
      <c r="E59" s="3"/>
      <c r="F59" s="3"/>
      <c r="G59" s="3"/>
      <c r="H59" s="3"/>
    </row>
    <row r="60" customFormat="false" ht="15" hidden="false" customHeight="false" outlineLevel="0" collapsed="false">
      <c r="A60" s="4" t="s">
        <v>3</v>
      </c>
      <c r="B60" s="5" t="s">
        <v>4</v>
      </c>
      <c r="C60" s="4" t="s">
        <v>5</v>
      </c>
      <c r="D60" s="5" t="s">
        <v>6</v>
      </c>
      <c r="E60" s="4" t="s">
        <v>7</v>
      </c>
      <c r="F60" s="4" t="s">
        <v>8</v>
      </c>
      <c r="G60" s="4" t="s">
        <v>9</v>
      </c>
      <c r="H60" s="5" t="s">
        <v>10</v>
      </c>
    </row>
    <row r="61" customFormat="false" ht="25.5" hidden="false" customHeight="true" outlineLevel="0" collapsed="false">
      <c r="A61" s="6" t="n">
        <v>32</v>
      </c>
      <c r="B61" s="7" t="s">
        <v>109</v>
      </c>
      <c r="C61" s="8" t="n">
        <v>1</v>
      </c>
      <c r="D61" s="9" t="s">
        <v>110</v>
      </c>
      <c r="E61" s="10" t="n">
        <v>450</v>
      </c>
      <c r="F61" s="11" t="n">
        <f aca="false">C61*E61</f>
        <v>450</v>
      </c>
      <c r="G61" s="12"/>
      <c r="H61" s="13"/>
    </row>
    <row r="62" customFormat="false" ht="25.5" hidden="false" customHeight="true" outlineLevel="0" collapsed="false">
      <c r="A62" s="6" t="n">
        <v>33</v>
      </c>
      <c r="B62" s="7" t="s">
        <v>111</v>
      </c>
      <c r="C62" s="8" t="n">
        <v>1</v>
      </c>
      <c r="D62" s="9" t="s">
        <v>112</v>
      </c>
      <c r="E62" s="10" t="n">
        <v>500</v>
      </c>
      <c r="F62" s="11" t="n">
        <f aca="false">C62*E62</f>
        <v>500</v>
      </c>
      <c r="G62" s="12"/>
      <c r="H62" s="13"/>
    </row>
    <row r="63" customFormat="false" ht="25.5" hidden="false" customHeight="true" outlineLevel="0" collapsed="false">
      <c r="A63" s="6" t="n">
        <v>34</v>
      </c>
      <c r="B63" s="7" t="s">
        <v>113</v>
      </c>
      <c r="C63" s="8" t="n">
        <v>1</v>
      </c>
      <c r="D63" s="9" t="s">
        <v>114</v>
      </c>
      <c r="E63" s="10" t="n">
        <v>800</v>
      </c>
      <c r="F63" s="11" t="n">
        <f aca="false">C63*E63</f>
        <v>800</v>
      </c>
      <c r="G63" s="12"/>
      <c r="H63" s="13" t="s">
        <v>115</v>
      </c>
    </row>
    <row r="64" customFormat="false" ht="25.5" hidden="false" customHeight="true" outlineLevel="0" collapsed="false">
      <c r="A64" s="6" t="n">
        <v>35</v>
      </c>
      <c r="B64" s="7" t="s">
        <v>116</v>
      </c>
      <c r="C64" s="8" t="n">
        <v>1</v>
      </c>
      <c r="D64" s="9" t="s">
        <v>117</v>
      </c>
      <c r="E64" s="10" t="n">
        <v>250</v>
      </c>
      <c r="F64" s="11" t="n">
        <f aca="false">C64*E64</f>
        <v>250</v>
      </c>
      <c r="G64" s="12"/>
      <c r="H64" s="13"/>
    </row>
    <row r="65" customFormat="false" ht="15" hidden="false" customHeight="true" outlineLevel="0" collapsed="false">
      <c r="A65" s="14" t="s">
        <v>34</v>
      </c>
      <c r="B65" s="14"/>
      <c r="C65" s="14"/>
      <c r="D65" s="14"/>
      <c r="E65" s="14"/>
      <c r="F65" s="15" t="n">
        <f aca="false">SUM(F61:F64)</f>
        <v>2000</v>
      </c>
      <c r="G65" s="16"/>
      <c r="H65" s="16"/>
    </row>
    <row r="67" customFormat="false" ht="15" hidden="false" customHeight="true" outlineLevel="0" collapsed="false">
      <c r="A67" s="17" t="s">
        <v>118</v>
      </c>
      <c r="B67" s="17"/>
      <c r="C67" s="17"/>
      <c r="D67" s="17"/>
      <c r="E67" s="17"/>
      <c r="F67" s="17"/>
      <c r="G67" s="17"/>
      <c r="H67" s="17"/>
    </row>
    <row r="68" customFormat="false" ht="18" hidden="false" customHeight="true" outlineLevel="0" collapsed="false">
      <c r="A68" s="18" t="s">
        <v>119</v>
      </c>
      <c r="B68" s="18"/>
      <c r="C68" s="18"/>
      <c r="D68" s="18"/>
      <c r="E68" s="18"/>
      <c r="F68" s="19" t="n">
        <f aca="false">F14+F25</f>
        <v>3740</v>
      </c>
      <c r="G68" s="7"/>
      <c r="H68" s="20"/>
    </row>
    <row r="69" customFormat="false" ht="18" hidden="false" customHeight="true" outlineLevel="0" collapsed="false">
      <c r="A69" s="21" t="s">
        <v>120</v>
      </c>
      <c r="B69" s="21"/>
      <c r="C69" s="21"/>
      <c r="D69" s="21"/>
      <c r="E69" s="21"/>
      <c r="F69" s="15" t="n">
        <f aca="false">F14+F33</f>
        <v>2190</v>
      </c>
      <c r="G69" s="7"/>
      <c r="H69" s="20"/>
    </row>
    <row r="70" customFormat="false" ht="18" hidden="false" customHeight="true" outlineLevel="0" collapsed="false">
      <c r="A70" s="21" t="s">
        <v>121</v>
      </c>
      <c r="B70" s="21"/>
      <c r="C70" s="21"/>
      <c r="D70" s="21"/>
      <c r="E70" s="21"/>
      <c r="F70" s="15" t="n">
        <f aca="false">F14+F25+F33</f>
        <v>4530</v>
      </c>
      <c r="G70" s="7"/>
      <c r="H70" s="20"/>
    </row>
    <row r="71" customFormat="false" ht="18" hidden="false" customHeight="true" outlineLevel="0" collapsed="false">
      <c r="A71" s="21" t="s">
        <v>122</v>
      </c>
      <c r="B71" s="21"/>
      <c r="C71" s="21"/>
      <c r="D71" s="21"/>
      <c r="E71" s="21"/>
      <c r="F71" s="15" t="n">
        <f aca="false">F14+F25+F33+F42</f>
        <v>13830</v>
      </c>
      <c r="G71" s="7"/>
      <c r="H71" s="20"/>
    </row>
    <row r="72" customFormat="false" ht="18" hidden="false" customHeight="true" outlineLevel="0" collapsed="false">
      <c r="A72" s="21" t="s">
        <v>123</v>
      </c>
      <c r="B72" s="21"/>
      <c r="C72" s="21"/>
      <c r="D72" s="21"/>
      <c r="E72" s="21"/>
      <c r="F72" s="15" t="n">
        <f aca="false">F14+F25+F42+F49</f>
        <v>13310</v>
      </c>
      <c r="G72" s="7"/>
      <c r="H72" s="20"/>
    </row>
    <row r="73" customFormat="false" ht="18" hidden="false" customHeight="true" outlineLevel="0" collapsed="false">
      <c r="A73" s="21" t="s">
        <v>124</v>
      </c>
      <c r="B73" s="21"/>
      <c r="C73" s="21"/>
      <c r="D73" s="21"/>
      <c r="E73" s="21"/>
      <c r="F73" s="15" t="n">
        <f aca="false">F57</f>
        <v>770</v>
      </c>
      <c r="G73" s="7"/>
      <c r="H73" s="20"/>
    </row>
    <row r="74" customFormat="false" ht="18" hidden="false" customHeight="true" outlineLevel="0" collapsed="false">
      <c r="A74" s="21" t="s">
        <v>125</v>
      </c>
      <c r="B74" s="21"/>
      <c r="C74" s="21"/>
      <c r="D74" s="21"/>
      <c r="E74" s="21"/>
      <c r="F74" s="15" t="n">
        <f aca="false">F65</f>
        <v>2000</v>
      </c>
      <c r="G74" s="7"/>
      <c r="H74" s="20"/>
    </row>
    <row r="76" customFormat="false" ht="24" hidden="false" customHeight="true" outlineLevel="0" collapsed="false">
      <c r="A76" s="22" t="s">
        <v>126</v>
      </c>
      <c r="B76" s="22"/>
      <c r="C76" s="22"/>
      <c r="D76" s="22"/>
      <c r="E76" s="22"/>
      <c r="F76" s="22"/>
      <c r="G76" s="22"/>
      <c r="H76" s="22"/>
    </row>
  </sheetData>
  <mergeCells count="25">
    <mergeCell ref="A1:H1"/>
    <mergeCell ref="A2:H2"/>
    <mergeCell ref="A4:H4"/>
    <mergeCell ref="A14:E14"/>
    <mergeCell ref="A16:H16"/>
    <mergeCell ref="A25:E25"/>
    <mergeCell ref="A27:H27"/>
    <mergeCell ref="A33:E33"/>
    <mergeCell ref="A35:H35"/>
    <mergeCell ref="A42:E42"/>
    <mergeCell ref="A44:H44"/>
    <mergeCell ref="A49:E49"/>
    <mergeCell ref="A51:H51"/>
    <mergeCell ref="A57:E57"/>
    <mergeCell ref="A59:H59"/>
    <mergeCell ref="A65:E65"/>
    <mergeCell ref="A67:H67"/>
    <mergeCell ref="A68:E68"/>
    <mergeCell ref="A69:E69"/>
    <mergeCell ref="A70:E70"/>
    <mergeCell ref="A71:E71"/>
    <mergeCell ref="A72:E72"/>
    <mergeCell ref="A73:E73"/>
    <mergeCell ref="A74:E74"/>
    <mergeCell ref="A76:H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2026-08-28T19:44:30Z</dcterms:created>
  <dc:creator>openpyxl</dc:creator>
  <dc:description/>
  <dc:language>en-US</dc:language>
  <cp:lastModifiedBy/>
  <dcterms:modified xsi:type="dcterms:W3CDTF">2026-08-28T19:44:30Z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